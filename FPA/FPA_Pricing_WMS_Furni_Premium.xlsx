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FPA_Data_Master (ILF)" sheetId="1" r:id="rId1"/>
    <sheet name="2_FPA_Form_Input (EI)" sheetId="2" r:id="rId2"/>
    <sheet name="3_FPA_Laporan_Output (EO)" sheetId="3" r:id="rId3"/>
    <sheet name="4_FPA_Layar_Tampil (EQ)" sheetId="4" r:id="rId4"/>
    <sheet name="5_VAF_Faktor_Sistem" sheetId="5" r:id="rId5"/>
    <sheet name="6_Kalkulasi_Waktu (Effort)" sheetId="6" r:id="rId6"/>
    <sheet name="7_Biaya_SDM_Operasional" sheetId="7" r:id="rId7"/>
    <sheet name="8_Penawaran_Harga (Pricing)" sheetId="8" r:id="rId8"/>
  </sheets>
  <calcPr calcId="124519" fullCalcOnLoad="1"/>
</workbook>
</file>

<file path=xl/sharedStrings.xml><?xml version="1.0" encoding="utf-8"?>
<sst xmlns="http://schemas.openxmlformats.org/spreadsheetml/2006/main" count="148" uniqueCount="96">
  <si>
    <t>Modul</t>
  </si>
  <si>
    <t>Nama Entitas (Tabel)</t>
  </si>
  <si>
    <t>DET (Jml Kolom)</t>
  </si>
  <si>
    <t>RET</t>
  </si>
  <si>
    <t>Kompleksitas</t>
  </si>
  <si>
    <t>FP</t>
  </si>
  <si>
    <t>Master Data</t>
  </si>
  <si>
    <t>Data Barang (tb_furniture)</t>
  </si>
  <si>
    <t>Rendah</t>
  </si>
  <si>
    <t>Data Supplier (tb_supplier)</t>
  </si>
  <si>
    <t>Data Toko (tb_toko)</t>
  </si>
  <si>
    <t>Data Lokasi (tb_lokasi)</t>
  </si>
  <si>
    <t>Data Gudang (tb_gudang)</t>
  </si>
  <si>
    <t>Data Users (tb_users)</t>
  </si>
  <si>
    <t>Total</t>
  </si>
  <si>
    <t>Nama Form (Proses)</t>
  </si>
  <si>
    <t>DET (Input)</t>
  </si>
  <si>
    <t>FTR (Tabel Terkait)</t>
  </si>
  <si>
    <t>Transaksi</t>
  </si>
  <si>
    <t>Form Purchase Order (PO)</t>
  </si>
  <si>
    <t>Sedang</t>
  </si>
  <si>
    <t>Form Sales Order (SO)</t>
  </si>
  <si>
    <t>Logistik</t>
  </si>
  <si>
    <t>Form Inbound</t>
  </si>
  <si>
    <t>Form Outbound/QC</t>
  </si>
  <si>
    <t>Form Lapor Waste</t>
  </si>
  <si>
    <t>Form Approval Waste</t>
  </si>
  <si>
    <t>Form Transfer Gudang</t>
  </si>
  <si>
    <t>Form Stock Opname</t>
  </si>
  <si>
    <t>Nama Laporan/Cetak</t>
  </si>
  <si>
    <t>DET</t>
  </si>
  <si>
    <t>FTR</t>
  </si>
  <si>
    <t>Cetak</t>
  </si>
  <si>
    <t>Cetak Dokumen PO</t>
  </si>
  <si>
    <t>Cetak Surat Jalan SO</t>
  </si>
  <si>
    <t>Cetak Nota Selisih</t>
  </si>
  <si>
    <t>Laporan</t>
  </si>
  <si>
    <t>Laporan Konsolidasi Stok</t>
  </si>
  <si>
    <t>Laporan Riwayat Mutasi</t>
  </si>
  <si>
    <t>Laporan Barang Waste</t>
  </si>
  <si>
    <t>Nama Layar</t>
  </si>
  <si>
    <t>Dashboard</t>
  </si>
  <si>
    <t>Dashboard Statistik</t>
  </si>
  <si>
    <t>Informasi</t>
  </si>
  <si>
    <t>Informasi Stok (Read-Only)</t>
  </si>
  <si>
    <t>Kartu Stok Detail</t>
  </si>
  <si>
    <t>No</t>
  </si>
  <si>
    <t>Deskripsi Karakteristik</t>
  </si>
  <si>
    <t>Nilai (0-5)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</si>
  <si>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</si>
  <si>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</si>
  <si>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</si>
  <si>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</si>
  <si>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</si>
  <si>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</si>
  <si>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</si>
  <si>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</si>
  <si>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</si>
  <si>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</si>
  <si>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</si>
  <si>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</si>
  <si>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</si>
  <si>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</t>
  </si>
  <si>
    <t>Total Degree of Influence (TDI)</t>
  </si>
  <si>
    <t>Value Adjustment Factor (VAF)</t>
  </si>
  <si>
    <t>Komponen</t>
  </si>
  <si>
    <t>Nilai</t>
  </si>
  <si>
    <t>Total UFP (ILF+EI+EO+EQ)</t>
  </si>
  <si>
    <t>VAF (Dari Sheet 5)</t>
  </si>
  <si>
    <t>Total Final FP</t>
  </si>
  <si>
    <t>Konversi FP ke Jam Kerja</t>
  </si>
  <si>
    <t>Total Estimasi Jam Kerja</t>
  </si>
  <si>
    <t>Jam Kerja per Hari</t>
  </si>
  <si>
    <t>Total Hari Kerja</t>
  </si>
  <si>
    <t>Biaya SDM</t>
  </si>
  <si>
    <t>Hari Kerja</t>
  </si>
  <si>
    <t>Rate per Hari</t>
  </si>
  <si>
    <t>Total Biaya</t>
  </si>
  <si>
    <t>System Analyst</t>
  </si>
  <si>
    <t>Programmer PHP</t>
  </si>
  <si>
    <t>UI/UX Designer</t>
  </si>
  <si>
    <t>Subtotal SDM</t>
  </si>
  <si>
    <t>Biaya Operasional</t>
  </si>
  <si>
    <t>Bulan/Pcs</t>
  </si>
  <si>
    <t>Harga Satuan</t>
  </si>
  <si>
    <t>Server/Hosting (1 thn)</t>
  </si>
  <si>
    <t>Internet/Bulan</t>
  </si>
  <si>
    <t>Listrik/Bulan</t>
  </si>
  <si>
    <t>Transportasi &amp; Rapat</t>
  </si>
  <si>
    <t>Subtotal Operasional</t>
  </si>
  <si>
    <t>TOTAL HPP</t>
  </si>
  <si>
    <t>Komponen Penawaran</t>
  </si>
  <si>
    <t>Nominal</t>
  </si>
  <si>
    <t>Harga Pokok Proyek (HPP)</t>
  </si>
  <si>
    <t>Batas Bawah Penawaran (+20% Margin)</t>
  </si>
  <si>
    <t>Batas Atas Penawaran (+45% Margin)</t>
  </si>
</sst>
</file>

<file path=xl/styles.xml><?xml version="1.0" encoding="utf-8"?>
<styleSheet xmlns="http://schemas.openxmlformats.org/spreadsheetml/2006/main">
  <numFmts count="1">
    <numFmt numFmtId="164" formatCode="Rp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6</v>
      </c>
      <c r="D2" s="3">
        <v>1</v>
      </c>
      <c r="E2" s="2" t="s">
        <v>8</v>
      </c>
      <c r="F2" s="3">
        <v>7</v>
      </c>
    </row>
    <row r="3" spans="1:6">
      <c r="A3" s="2" t="s">
        <v>6</v>
      </c>
      <c r="B3" s="2" t="s">
        <v>9</v>
      </c>
      <c r="C3" s="3">
        <v>5</v>
      </c>
      <c r="D3" s="3">
        <v>1</v>
      </c>
      <c r="E3" s="2" t="s">
        <v>8</v>
      </c>
      <c r="F3" s="3">
        <v>7</v>
      </c>
    </row>
    <row r="4" spans="1:6">
      <c r="A4" s="2" t="s">
        <v>6</v>
      </c>
      <c r="B4" s="2" t="s">
        <v>10</v>
      </c>
      <c r="C4" s="3">
        <v>5</v>
      </c>
      <c r="D4" s="3">
        <v>1</v>
      </c>
      <c r="E4" s="2" t="s">
        <v>8</v>
      </c>
      <c r="F4" s="3">
        <v>7</v>
      </c>
    </row>
    <row r="5" spans="1:6">
      <c r="A5" s="2" t="s">
        <v>6</v>
      </c>
      <c r="B5" s="2" t="s">
        <v>11</v>
      </c>
      <c r="C5" s="3">
        <v>4</v>
      </c>
      <c r="D5" s="3">
        <v>1</v>
      </c>
      <c r="E5" s="2" t="s">
        <v>8</v>
      </c>
      <c r="F5" s="3">
        <v>7</v>
      </c>
    </row>
    <row r="6" spans="1:6">
      <c r="A6" s="2" t="s">
        <v>6</v>
      </c>
      <c r="B6" s="2" t="s">
        <v>12</v>
      </c>
      <c r="C6" s="3">
        <v>4</v>
      </c>
      <c r="D6" s="3">
        <v>1</v>
      </c>
      <c r="E6" s="2" t="s">
        <v>8</v>
      </c>
      <c r="F6" s="3">
        <v>7</v>
      </c>
    </row>
    <row r="7" spans="1:6">
      <c r="A7" s="2" t="s">
        <v>6</v>
      </c>
      <c r="B7" s="2" t="s">
        <v>13</v>
      </c>
      <c r="C7" s="3">
        <v>3</v>
      </c>
      <c r="D7" s="3">
        <v>1</v>
      </c>
      <c r="E7" s="2" t="s">
        <v>8</v>
      </c>
      <c r="F7" s="3">
        <v>7</v>
      </c>
    </row>
    <row r="8" spans="1:6">
      <c r="E8" s="4" t="s">
        <v>14</v>
      </c>
      <c r="F8" s="4">
        <f>SUM(F2:F7)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15</v>
      </c>
      <c r="C1" s="1" t="s">
        <v>16</v>
      </c>
      <c r="D1" s="1" t="s">
        <v>17</v>
      </c>
      <c r="E1" s="1" t="s">
        <v>4</v>
      </c>
      <c r="F1" s="1" t="s">
        <v>5</v>
      </c>
    </row>
    <row r="2" spans="1:6">
      <c r="A2" s="2" t="s">
        <v>18</v>
      </c>
      <c r="B2" s="2" t="s">
        <v>19</v>
      </c>
      <c r="C2" s="3">
        <v>10</v>
      </c>
      <c r="D2" s="3">
        <v>3</v>
      </c>
      <c r="E2" s="2" t="s">
        <v>20</v>
      </c>
      <c r="F2" s="3">
        <v>4</v>
      </c>
    </row>
    <row r="3" spans="1:6">
      <c r="A3" s="2" t="s">
        <v>18</v>
      </c>
      <c r="B3" s="2" t="s">
        <v>21</v>
      </c>
      <c r="C3" s="3">
        <v>10</v>
      </c>
      <c r="D3" s="3">
        <v>3</v>
      </c>
      <c r="E3" s="2" t="s">
        <v>20</v>
      </c>
      <c r="F3" s="3">
        <v>4</v>
      </c>
    </row>
    <row r="4" spans="1:6">
      <c r="A4" s="2" t="s">
        <v>22</v>
      </c>
      <c r="B4" s="2" t="s">
        <v>23</v>
      </c>
      <c r="C4" s="3">
        <v>8</v>
      </c>
      <c r="D4" s="3">
        <v>4</v>
      </c>
      <c r="E4" s="2" t="s">
        <v>20</v>
      </c>
      <c r="F4" s="3">
        <v>4</v>
      </c>
    </row>
    <row r="5" spans="1:6">
      <c r="A5" s="2" t="s">
        <v>22</v>
      </c>
      <c r="B5" s="2" t="s">
        <v>24</v>
      </c>
      <c r="C5" s="3">
        <v>7</v>
      </c>
      <c r="D5" s="3">
        <v>3</v>
      </c>
      <c r="E5" s="2" t="s">
        <v>20</v>
      </c>
      <c r="F5" s="3">
        <v>4</v>
      </c>
    </row>
    <row r="6" spans="1:6">
      <c r="A6" s="2" t="s">
        <v>22</v>
      </c>
      <c r="B6" s="2" t="s">
        <v>25</v>
      </c>
      <c r="C6" s="3">
        <v>5</v>
      </c>
      <c r="D6" s="3">
        <v>2</v>
      </c>
      <c r="E6" s="2" t="s">
        <v>20</v>
      </c>
      <c r="F6" s="3">
        <v>4</v>
      </c>
    </row>
    <row r="7" spans="1:6">
      <c r="A7" s="2" t="s">
        <v>22</v>
      </c>
      <c r="B7" s="2" t="s">
        <v>26</v>
      </c>
      <c r="C7" s="3">
        <v>4</v>
      </c>
      <c r="D7" s="3">
        <v>2</v>
      </c>
      <c r="E7" s="2" t="s">
        <v>20</v>
      </c>
      <c r="F7" s="3">
        <v>4</v>
      </c>
    </row>
    <row r="8" spans="1:6">
      <c r="A8" s="2" t="s">
        <v>22</v>
      </c>
      <c r="B8" s="2" t="s">
        <v>27</v>
      </c>
      <c r="C8" s="3">
        <v>6</v>
      </c>
      <c r="D8" s="3">
        <v>3</v>
      </c>
      <c r="E8" s="2" t="s">
        <v>20</v>
      </c>
      <c r="F8" s="3">
        <v>4</v>
      </c>
    </row>
    <row r="9" spans="1:6">
      <c r="A9" s="2" t="s">
        <v>22</v>
      </c>
      <c r="B9" s="2" t="s">
        <v>28</v>
      </c>
      <c r="C9" s="3">
        <v>6</v>
      </c>
      <c r="D9" s="3">
        <v>2</v>
      </c>
      <c r="E9" s="2" t="s">
        <v>20</v>
      </c>
      <c r="F9" s="3">
        <v>4</v>
      </c>
    </row>
    <row r="10" spans="1:6">
      <c r="E10" s="4" t="s">
        <v>14</v>
      </c>
      <c r="F10" s="4">
        <f>SUM(F2:F9)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29</v>
      </c>
      <c r="C1" s="1" t="s">
        <v>30</v>
      </c>
      <c r="D1" s="1" t="s">
        <v>31</v>
      </c>
      <c r="E1" s="1" t="s">
        <v>4</v>
      </c>
      <c r="F1" s="1" t="s">
        <v>5</v>
      </c>
    </row>
    <row r="2" spans="1:6">
      <c r="A2" s="2" t="s">
        <v>32</v>
      </c>
      <c r="B2" s="2" t="s">
        <v>33</v>
      </c>
      <c r="C2" s="3">
        <v>15</v>
      </c>
      <c r="D2" s="3">
        <v>3</v>
      </c>
      <c r="E2" s="2" t="s">
        <v>20</v>
      </c>
      <c r="F2" s="3">
        <v>5</v>
      </c>
    </row>
    <row r="3" spans="1:6">
      <c r="A3" s="2" t="s">
        <v>32</v>
      </c>
      <c r="B3" s="2" t="s">
        <v>34</v>
      </c>
      <c r="C3" s="3">
        <v>15</v>
      </c>
      <c r="D3" s="3">
        <v>3</v>
      </c>
      <c r="E3" s="2" t="s">
        <v>20</v>
      </c>
      <c r="F3" s="3">
        <v>5</v>
      </c>
    </row>
    <row r="4" spans="1:6">
      <c r="A4" s="2" t="s">
        <v>32</v>
      </c>
      <c r="B4" s="2" t="s">
        <v>35</v>
      </c>
      <c r="C4" s="3">
        <v>10</v>
      </c>
      <c r="D4" s="3">
        <v>2</v>
      </c>
      <c r="E4" s="2" t="s">
        <v>20</v>
      </c>
      <c r="F4" s="3">
        <v>5</v>
      </c>
    </row>
    <row r="5" spans="1:6">
      <c r="A5" s="2" t="s">
        <v>36</v>
      </c>
      <c r="B5" s="2" t="s">
        <v>37</v>
      </c>
      <c r="C5" s="3">
        <v>12</v>
      </c>
      <c r="D5" s="3">
        <v>4</v>
      </c>
      <c r="E5" s="2" t="s">
        <v>20</v>
      </c>
      <c r="F5" s="3">
        <v>5</v>
      </c>
    </row>
    <row r="6" spans="1:6">
      <c r="A6" s="2" t="s">
        <v>36</v>
      </c>
      <c r="B6" s="2" t="s">
        <v>38</v>
      </c>
      <c r="C6" s="3">
        <v>10</v>
      </c>
      <c r="D6" s="3">
        <v>3</v>
      </c>
      <c r="E6" s="2" t="s">
        <v>20</v>
      </c>
      <c r="F6" s="3">
        <v>5</v>
      </c>
    </row>
    <row r="7" spans="1:6">
      <c r="A7" s="2" t="s">
        <v>36</v>
      </c>
      <c r="B7" s="2" t="s">
        <v>39</v>
      </c>
      <c r="C7" s="3">
        <v>8</v>
      </c>
      <c r="D7" s="3">
        <v>2</v>
      </c>
      <c r="E7" s="2" t="s">
        <v>20</v>
      </c>
      <c r="F7" s="3">
        <v>5</v>
      </c>
    </row>
    <row r="8" spans="1:6">
      <c r="E8" s="4" t="s">
        <v>14</v>
      </c>
      <c r="F8" s="4">
        <f>SUM(F2:F7)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40</v>
      </c>
      <c r="C1" s="1" t="s">
        <v>30</v>
      </c>
      <c r="D1" s="1" t="s">
        <v>31</v>
      </c>
      <c r="E1" s="1" t="s">
        <v>4</v>
      </c>
      <c r="F1" s="1" t="s">
        <v>5</v>
      </c>
    </row>
    <row r="2" spans="1:6">
      <c r="A2" s="2" t="s">
        <v>41</v>
      </c>
      <c r="B2" s="2" t="s">
        <v>42</v>
      </c>
      <c r="C2" s="3">
        <v>10</v>
      </c>
      <c r="D2" s="3">
        <v>4</v>
      </c>
      <c r="E2" s="2" t="s">
        <v>8</v>
      </c>
      <c r="F2" s="3">
        <v>3</v>
      </c>
    </row>
    <row r="3" spans="1:6">
      <c r="A3" s="2" t="s">
        <v>43</v>
      </c>
      <c r="B3" s="2" t="s">
        <v>44</v>
      </c>
      <c r="C3" s="3">
        <v>8</v>
      </c>
      <c r="D3" s="3">
        <v>3</v>
      </c>
      <c r="E3" s="2" t="s">
        <v>8</v>
      </c>
      <c r="F3" s="3">
        <v>3</v>
      </c>
    </row>
    <row r="4" spans="1:6">
      <c r="A4" s="2" t="s">
        <v>43</v>
      </c>
      <c r="B4" s="2" t="s">
        <v>45</v>
      </c>
      <c r="C4" s="3">
        <v>12</v>
      </c>
      <c r="D4" s="3">
        <v>3</v>
      </c>
      <c r="E4" s="2" t="s">
        <v>8</v>
      </c>
      <c r="F4" s="3">
        <v>3</v>
      </c>
    </row>
    <row r="5" spans="1:6">
      <c r="E5" s="4" t="s">
        <v>14</v>
      </c>
      <c r="F5" s="4">
        <f>SUM(F2:F4)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2" max="2" width="40.7109375" customWidth="1"/>
    <col min="3" max="3" width="15.7109375" customWidth="1"/>
  </cols>
  <sheetData>
    <row r="1" spans="1:3">
      <c r="A1" s="1" t="s">
        <v>46</v>
      </c>
      <c r="B1" s="1" t="s">
        <v>47</v>
      </c>
      <c r="C1" s="1" t="s">
        <v>48</v>
      </c>
    </row>
    <row r="2" spans="1:3">
      <c r="A2" s="3">
        <v>1</v>
      </c>
      <c r="B2" s="2" t="s">
        <v>49</v>
      </c>
      <c r="C2" s="3">
        <v>3</v>
      </c>
    </row>
    <row r="3" spans="1:3">
      <c r="A3" s="3">
        <v>2</v>
      </c>
      <c r="B3" s="2" t="s">
        <v>50</v>
      </c>
      <c r="C3" s="3">
        <v>2</v>
      </c>
    </row>
    <row r="4" spans="1:3">
      <c r="A4" s="3">
        <v>3</v>
      </c>
      <c r="B4" s="2" t="s">
        <v>51</v>
      </c>
      <c r="C4" s="3">
        <v>4</v>
      </c>
    </row>
    <row r="5" spans="1:3">
      <c r="A5" s="3">
        <v>4</v>
      </c>
      <c r="B5" s="2" t="s">
        <v>52</v>
      </c>
      <c r="C5" s="3">
        <v>3</v>
      </c>
    </row>
    <row r="6" spans="1:3">
      <c r="A6" s="3">
        <v>5</v>
      </c>
      <c r="B6" s="2" t="s">
        <v>53</v>
      </c>
      <c r="C6" s="3">
        <v>4</v>
      </c>
    </row>
    <row r="7" spans="1:3">
      <c r="A7" s="3">
        <v>6</v>
      </c>
      <c r="B7" s="2" t="s">
        <v>54</v>
      </c>
      <c r="C7" s="3">
        <v>5</v>
      </c>
    </row>
    <row r="8" spans="1:3">
      <c r="A8" s="3">
        <v>7</v>
      </c>
      <c r="B8" s="2" t="s">
        <v>55</v>
      </c>
      <c r="C8" s="3">
        <v>4</v>
      </c>
    </row>
    <row r="9" spans="1:3">
      <c r="A9" s="3">
        <v>8</v>
      </c>
      <c r="B9" s="2" t="s">
        <v>56</v>
      </c>
      <c r="C9" s="3">
        <v>5</v>
      </c>
    </row>
    <row r="10" spans="1:3">
      <c r="A10" s="3">
        <v>9</v>
      </c>
      <c r="B10" s="2" t="s">
        <v>57</v>
      </c>
      <c r="C10" s="3">
        <v>3</v>
      </c>
    </row>
    <row r="11" spans="1:3">
      <c r="A11" s="3">
        <v>10</v>
      </c>
      <c r="B11" s="2" t="s">
        <v>58</v>
      </c>
      <c r="C11" s="3">
        <v>2</v>
      </c>
    </row>
    <row r="12" spans="1:3">
      <c r="A12" s="3">
        <v>11</v>
      </c>
      <c r="B12" s="2" t="s">
        <v>59</v>
      </c>
      <c r="C12" s="3">
        <v>3</v>
      </c>
    </row>
    <row r="13" spans="1:3">
      <c r="A13" s="3">
        <v>12</v>
      </c>
      <c r="B13" s="2" t="s">
        <v>60</v>
      </c>
      <c r="C13" s="3">
        <v>4</v>
      </c>
    </row>
    <row r="14" spans="1:3">
      <c r="A14" s="3">
        <v>13</v>
      </c>
      <c r="B14" s="2" t="s">
        <v>61</v>
      </c>
      <c r="C14" s="3">
        <v>4</v>
      </c>
    </row>
    <row r="15" spans="1:3">
      <c r="A15" s="3">
        <v>14</v>
      </c>
      <c r="B15" s="2" t="s">
        <v>62</v>
      </c>
      <c r="C15" s="3">
        <v>3</v>
      </c>
    </row>
    <row r="17" spans="2:3">
      <c r="B17" s="4" t="s">
        <v>63</v>
      </c>
      <c r="C17" s="4">
        <f>SUM(C2:C15)</f>
        <v>0</v>
      </c>
    </row>
    <row r="18" spans="2:3">
      <c r="B18" s="4" t="s">
        <v>64</v>
      </c>
      <c r="C18" s="4">
        <f>(C17*0.01)+0.65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1" t="s">
        <v>65</v>
      </c>
      <c r="B1" s="1" t="s">
        <v>66</v>
      </c>
    </row>
    <row r="2" spans="1:2">
      <c r="A2" s="2" t="s">
        <v>67</v>
      </c>
      <c r="B2" s="2">
        <f>'1_FPA_Data_Master (ILF)'!F8 + '2_FPA_Form_Input (EI)'!F10 + '3_FPA_Laporan_Output (EO)'!F8 + '4_FPA_Layar_Tampil (EQ)'!F5</f>
        <v>0</v>
      </c>
    </row>
    <row r="3" spans="1:2">
      <c r="A3" s="2" t="s">
        <v>68</v>
      </c>
      <c r="B3" s="2">
        <f>'5_VAF_Faktor_Sistem'!C18</f>
        <v>0</v>
      </c>
    </row>
    <row r="4" spans="1:2">
      <c r="A4" s="4" t="s">
        <v>69</v>
      </c>
      <c r="B4" s="4">
        <f>B2*B3</f>
        <v>0</v>
      </c>
    </row>
    <row r="6" spans="1:2">
      <c r="A6" s="2" t="s">
        <v>70</v>
      </c>
      <c r="B6" s="3">
        <v>8</v>
      </c>
    </row>
    <row r="7" spans="1:2">
      <c r="A7" s="2" t="s">
        <v>71</v>
      </c>
      <c r="B7" s="3">
        <f>B4*B6</f>
        <v>0</v>
      </c>
    </row>
    <row r="8" spans="1:2">
      <c r="A8" s="2" t="s">
        <v>72</v>
      </c>
      <c r="B8" s="3">
        <v>8</v>
      </c>
    </row>
    <row r="9" spans="1:2">
      <c r="A9" s="4" t="s">
        <v>73</v>
      </c>
      <c r="B9" s="4">
        <f>B7/B8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15.7109375" customWidth="1"/>
    <col min="3" max="4" width="20.7109375" customWidth="1"/>
  </cols>
  <sheetData>
    <row r="1" spans="1:4">
      <c r="A1" s="1" t="s">
        <v>74</v>
      </c>
      <c r="B1" s="1" t="s">
        <v>75</v>
      </c>
      <c r="C1" s="1" t="s">
        <v>76</v>
      </c>
      <c r="D1" s="1" t="s">
        <v>77</v>
      </c>
    </row>
    <row r="2" spans="1:4">
      <c r="A2" s="2" t="s">
        <v>78</v>
      </c>
      <c r="B2" s="3">
        <f>'6_Kalkulasi_Waktu (Effort)'!B9</f>
        <v>0</v>
      </c>
      <c r="C2" s="5">
        <v>500000</v>
      </c>
      <c r="D2" s="5">
        <f>B2*C2</f>
        <v>0</v>
      </c>
    </row>
    <row r="3" spans="1:4">
      <c r="A3" s="2" t="s">
        <v>79</v>
      </c>
      <c r="B3" s="3">
        <f>'6_Kalkulasi_Waktu (Effort)'!B9</f>
        <v>0</v>
      </c>
      <c r="C3" s="5">
        <v>400000</v>
      </c>
      <c r="D3" s="5">
        <f>B3*C3</f>
        <v>0</v>
      </c>
    </row>
    <row r="4" spans="1:4">
      <c r="A4" s="2" t="s">
        <v>80</v>
      </c>
      <c r="B4" s="3">
        <f>'6_Kalkulasi_Waktu (Effort)'!B9</f>
        <v>0</v>
      </c>
      <c r="C4" s="5">
        <v>350000</v>
      </c>
      <c r="D4" s="5">
        <f>B4*C4</f>
        <v>0</v>
      </c>
    </row>
    <row r="5" spans="1:4">
      <c r="C5" s="4" t="s">
        <v>81</v>
      </c>
      <c r="D5" s="5">
        <f>SUM(D2:D4)</f>
        <v>0</v>
      </c>
    </row>
    <row r="7" spans="1:4">
      <c r="A7" s="1" t="s">
        <v>82</v>
      </c>
      <c r="B7" s="1" t="s">
        <v>83</v>
      </c>
      <c r="C7" s="1" t="s">
        <v>84</v>
      </c>
      <c r="D7" s="1" t="s">
        <v>77</v>
      </c>
    </row>
    <row r="8" spans="1:4">
      <c r="A8" s="2" t="s">
        <v>85</v>
      </c>
      <c r="B8" s="3">
        <v>1</v>
      </c>
      <c r="C8" s="5">
        <v>1500000</v>
      </c>
      <c r="D8" s="5">
        <f>B8*C8</f>
        <v>0</v>
      </c>
    </row>
    <row r="9" spans="1:4">
      <c r="A9" s="2" t="s">
        <v>86</v>
      </c>
      <c r="B9" s="3">
        <v>2</v>
      </c>
      <c r="C9" s="5">
        <v>400000</v>
      </c>
      <c r="D9" s="5">
        <f>B9*C9</f>
        <v>0</v>
      </c>
    </row>
    <row r="10" spans="1:4">
      <c r="A10" s="2" t="s">
        <v>87</v>
      </c>
      <c r="B10" s="3">
        <v>2</v>
      </c>
      <c r="C10" s="5">
        <v>300000</v>
      </c>
      <c r="D10" s="5">
        <f>B10*C10</f>
        <v>0</v>
      </c>
    </row>
    <row r="11" spans="1:4">
      <c r="A11" s="2" t="s">
        <v>88</v>
      </c>
      <c r="B11" s="3">
        <v>5</v>
      </c>
      <c r="C11" s="5">
        <v>100000</v>
      </c>
      <c r="D11" s="5">
        <f>B11*C11</f>
        <v>0</v>
      </c>
    </row>
    <row r="12" spans="1:4">
      <c r="C12" s="4" t="s">
        <v>89</v>
      </c>
      <c r="D12" s="5">
        <f>SUM(D8:D11)</f>
        <v>0</v>
      </c>
    </row>
    <row r="14" spans="1:4">
      <c r="C14" s="1" t="s">
        <v>90</v>
      </c>
      <c r="D14" s="5">
        <f>D5+D12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5.7109375" customWidth="1"/>
    <col min="2" max="2" width="25.7109375" customWidth="1"/>
  </cols>
  <sheetData>
    <row r="1" spans="1:2">
      <c r="A1" s="1" t="s">
        <v>91</v>
      </c>
      <c r="B1" s="1" t="s">
        <v>92</v>
      </c>
    </row>
    <row r="2" spans="1:2">
      <c r="A2" s="2" t="s">
        <v>93</v>
      </c>
      <c r="B2" s="5">
        <f>'7_Biaya_SDM_Operasional'!D14</f>
        <v>0</v>
      </c>
    </row>
    <row r="3" spans="1:2">
      <c r="A3" s="4" t="s">
        <v>94</v>
      </c>
      <c r="B3" s="5">
        <f>B2*1.2</f>
        <v>0</v>
      </c>
    </row>
    <row r="4" spans="1:2">
      <c r="A4" s="4" t="s">
        <v>95</v>
      </c>
      <c r="B4" s="5">
        <f>B2*1.45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1_FPA_Data_Master (ILF)</vt:lpstr>
      <vt:lpstr>2_FPA_Form_Input (EI)</vt:lpstr>
      <vt:lpstr>3_FPA_Laporan_Output (EO)</vt:lpstr>
      <vt:lpstr>4_FPA_Layar_Tampil (EQ)</vt:lpstr>
      <vt:lpstr>5_VAF_Faktor_Sistem</vt:lpstr>
      <vt:lpstr>6_Kalkulasi_Waktu (Effort)</vt:lpstr>
      <vt:lpstr>7_Biaya_SDM_Operasional</vt:lpstr>
      <vt:lpstr>8_Penawaran_Harga (Pricing)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2026-06-24T13:34:39Z</dcterms:created>
  <dcterms:modified xsi:type="dcterms:W3CDTF">2026-06-24T13:34:39Z</dcterms:modified>
</cp:coreProperties>
</file>