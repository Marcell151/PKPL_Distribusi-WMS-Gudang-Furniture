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Data Master (ILF)" sheetId="1" r:id="rId1"/>
    <sheet name="2. Data Eksternal (EIF)" sheetId="2" r:id="rId2"/>
    <sheet name="3. Form Input (EI)" sheetId="3" r:id="rId3"/>
    <sheet name="4. Laporan &amp; Cetak (EO)" sheetId="4" r:id="rId4"/>
    <sheet name="5. Tampil Data (EQ)" sheetId="5" r:id="rId5"/>
    <sheet name="6. Faktor Penyesuaian (VAF)" sheetId="6" r:id="rId6"/>
    <sheet name="7. Ringkasan &amp; Harga" sheetId="7" r:id="rId7"/>
  </sheets>
  <calcPr calcId="124519" fullCalcOnLoad="1"/>
</workbook>
</file>

<file path=xl/sharedStrings.xml><?xml version="1.0" encoding="utf-8"?>
<sst xmlns="http://schemas.openxmlformats.org/spreadsheetml/2006/main" count="66" uniqueCount="45">
  <si>
    <t>Nama Tabel/Entitas</t>
  </si>
  <si>
    <t>Tipe Record (RET)</t>
  </si>
  <si>
    <t>Elemen Data (DET)</t>
  </si>
  <si>
    <t>Kompleksitas (Mudah/Sedang/Sulit)</t>
  </si>
  <si>
    <t>Poin (7, 10, atau 15)</t>
  </si>
  <si>
    <t>Total Poin</t>
  </si>
  <si>
    <t>🔙 Kembali ke Ringkasan</t>
  </si>
  <si>
    <t>Nama Referensi</t>
  </si>
  <si>
    <t>Poin (5, 7, atau 10)</t>
  </si>
  <si>
    <t>Nama Form/Layar</t>
  </si>
  <si>
    <t>Referensi Tabel (FTR)</t>
  </si>
  <si>
    <t>Poin (3, 4, atau 6)</t>
  </si>
  <si>
    <t>Nama Laporan/Dokumen</t>
  </si>
  <si>
    <t>Poin (4, 5, atau 7)</t>
  </si>
  <si>
    <t>Nama Layar Inquiry</t>
  </si>
  <si>
    <t>No</t>
  </si>
  <si>
    <t>Deskripsi Karakteristik</t>
  </si>
  <si>
    <t>Nilai Pengaruh (0=Tidak Ada s/d 5=Kuat)</t>
  </si>
  <si>
    <t>Data Communications (Komunikasi Data)</t>
  </si>
  <si>
    <t>Distributed Data Processing (Pemrosesan Data Terdistribusi)</t>
  </si>
  <si>
    <t>Performance (Performa Kinerja)</t>
  </si>
  <si>
    <t>Heavily Used Configuration (Konfigurasi Sering Digunakan)</t>
  </si>
  <si>
    <t>Transaction Rate (Tingkat Transaksi)</t>
  </si>
  <si>
    <t>Online Data Entry (Entri Data Online)</t>
  </si>
  <si>
    <t>End-User Efficiency (Efisiensi Pengguna Akhir)</t>
  </si>
  <si>
    <t>Online Update (Pembaruan Online)</t>
  </si>
  <si>
    <t>Complex Processing (Pemrosesan Kompleks)</t>
  </si>
  <si>
    <t>Reusability (Dapat Digunakan Kembali)</t>
  </si>
  <si>
    <t>Installation Ease (Kemudahan Instalasi)</t>
  </si>
  <si>
    <t>Operational Ease (Kemudahan Operasional)</t>
  </si>
  <si>
    <t>Multiple Sites (Beragam Lokasi)</t>
  </si>
  <si>
    <t>Facilitate Change (Memfasilitasi Perubahan)</t>
  </si>
  <si>
    <t>Total Degree of Influence (TDI)</t>
  </si>
  <si>
    <t>Value Adjustment Factor (VAF)</t>
  </si>
  <si>
    <t>Komponen Perhitungan</t>
  </si>
  <si>
    <t>Nilai / Formula</t>
  </si>
  <si>
    <t>Total UFP (Unadjusted Function Point)</t>
  </si>
  <si>
    <t>Final Function Point (FP)</t>
  </si>
  <si>
    <t>--- ESTIMASI HARGA ---</t>
  </si>
  <si>
    <t>Jam Kerja per FP (Misal: 8 jam)</t>
  </si>
  <si>
    <t>Total Jam Kerja (FP * Jam Kerja per FP)</t>
  </si>
  <si>
    <t>Gaji Programmer per Hari (Asumsi 8 Jam/Hari)</t>
  </si>
  <si>
    <t>Biaya Akomodasi/Overhead per Hari</t>
  </si>
  <si>
    <t>Total Biaya Per Hari</t>
  </si>
  <si>
    <t>HARGA POKOK (Base Price)</t>
  </si>
</sst>
</file>

<file path=xl/styles.xml><?xml version="1.0" encoding="utf-8"?>
<styleSheet xmlns="http://schemas.openxmlformats.org/spreadsheetml/2006/main">
  <numFmts count="1">
    <numFmt numFmtId="164" formatCode="Rp#,##0"/>
  </numFmts>
  <fonts count="3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1E3A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5" width="25.7109375" customWidth="1"/>
  </cols>
  <sheetData>
    <row r="1" spans="1:5">
      <c r="A1" s="1" t="s">
        <v>6</v>
      </c>
    </row>
    <row r="4" spans="1: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D25" s="2" t="s">
        <v>5</v>
      </c>
      <c r="E25" s="3">
        <f>SUM(E5:E24)</f>
        <v>0</v>
      </c>
    </row>
  </sheetData>
  <hyperlinks>
    <hyperlink ref="A1" location="'7. Ringkasan &amp; Harga'!A1" display="🔙 Kembali ke Ringkasa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5" width="25.7109375" customWidth="1"/>
  </cols>
  <sheetData>
    <row r="1" spans="1:5">
      <c r="A1" s="1" t="s">
        <v>6</v>
      </c>
    </row>
    <row r="4" spans="1:5">
      <c r="A4" s="2" t="s">
        <v>7</v>
      </c>
      <c r="B4" s="2" t="s">
        <v>1</v>
      </c>
      <c r="C4" s="2" t="s">
        <v>2</v>
      </c>
      <c r="D4" s="2" t="s">
        <v>3</v>
      </c>
      <c r="E4" s="2" t="s">
        <v>8</v>
      </c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D25" s="2" t="s">
        <v>5</v>
      </c>
      <c r="E25" s="3">
        <f>SUM(E5:E24)</f>
        <v>0</v>
      </c>
    </row>
  </sheetData>
  <hyperlinks>
    <hyperlink ref="A1" location="'7. Ringkasan &amp; Harga'!A1" display="🔙 Kembali ke Ringkasan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5" width="25.7109375" customWidth="1"/>
  </cols>
  <sheetData>
    <row r="1" spans="1:5">
      <c r="A1" s="1" t="s">
        <v>6</v>
      </c>
    </row>
    <row r="4" spans="1:5">
      <c r="A4" s="2" t="s">
        <v>9</v>
      </c>
      <c r="B4" s="2" t="s">
        <v>10</v>
      </c>
      <c r="C4" s="2" t="s">
        <v>2</v>
      </c>
      <c r="D4" s="2" t="s">
        <v>3</v>
      </c>
      <c r="E4" s="2" t="s">
        <v>11</v>
      </c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D25" s="2" t="s">
        <v>5</v>
      </c>
      <c r="E25" s="3">
        <f>SUM(E5:E24)</f>
        <v>0</v>
      </c>
    </row>
  </sheetData>
  <hyperlinks>
    <hyperlink ref="A1" location="'7. Ringkasan &amp; Harga'!A1" display="🔙 Kembali ke Ringkasan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5" width="25.7109375" customWidth="1"/>
  </cols>
  <sheetData>
    <row r="1" spans="1:5">
      <c r="A1" s="1" t="s">
        <v>6</v>
      </c>
    </row>
    <row r="4" spans="1:5">
      <c r="A4" s="2" t="s">
        <v>12</v>
      </c>
      <c r="B4" s="2" t="s">
        <v>10</v>
      </c>
      <c r="C4" s="2" t="s">
        <v>2</v>
      </c>
      <c r="D4" s="2" t="s">
        <v>3</v>
      </c>
      <c r="E4" s="2" t="s">
        <v>13</v>
      </c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D25" s="2" t="s">
        <v>5</v>
      </c>
      <c r="E25" s="3">
        <f>SUM(E5:E24)</f>
        <v>0</v>
      </c>
    </row>
  </sheetData>
  <hyperlinks>
    <hyperlink ref="A1" location="'7. Ringkasan &amp; Harga'!A1" display="🔙 Kembali ke Ringkasa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5" width="25.7109375" customWidth="1"/>
  </cols>
  <sheetData>
    <row r="1" spans="1:5">
      <c r="A1" s="1" t="s">
        <v>6</v>
      </c>
    </row>
    <row r="4" spans="1:5">
      <c r="A4" s="2" t="s">
        <v>14</v>
      </c>
      <c r="B4" s="2" t="s">
        <v>10</v>
      </c>
      <c r="C4" s="2" t="s">
        <v>2</v>
      </c>
      <c r="D4" s="2" t="s">
        <v>3</v>
      </c>
      <c r="E4" s="2" t="s">
        <v>11</v>
      </c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D25" s="2" t="s">
        <v>5</v>
      </c>
      <c r="E25" s="3">
        <f>SUM(E5:E24)</f>
        <v>0</v>
      </c>
    </row>
  </sheetData>
  <hyperlinks>
    <hyperlink ref="A1" location="'7. Ringkasan &amp; Harga'!A1" display="🔙 Kembali ke Ringkasan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2" max="2" width="45.7109375" customWidth="1"/>
    <col min="3" max="3" width="35.7109375" customWidth="1"/>
  </cols>
  <sheetData>
    <row r="1" spans="1:3">
      <c r="A1" s="2" t="s">
        <v>15</v>
      </c>
      <c r="B1" s="2" t="s">
        <v>16</v>
      </c>
      <c r="C1" s="2" t="s">
        <v>17</v>
      </c>
    </row>
    <row r="2" spans="1:3">
      <c r="A2" s="3">
        <v>1</v>
      </c>
      <c r="B2" s="3" t="s">
        <v>18</v>
      </c>
      <c r="C2" s="3">
        <v>0</v>
      </c>
    </row>
    <row r="3" spans="1:3">
      <c r="A3" s="3">
        <v>2</v>
      </c>
      <c r="B3" s="3" t="s">
        <v>19</v>
      </c>
      <c r="C3" s="3">
        <v>0</v>
      </c>
    </row>
    <row r="4" spans="1:3">
      <c r="A4" s="3">
        <v>3</v>
      </c>
      <c r="B4" s="3" t="s">
        <v>20</v>
      </c>
      <c r="C4" s="3">
        <v>0</v>
      </c>
    </row>
    <row r="5" spans="1:3">
      <c r="A5" s="3">
        <v>4</v>
      </c>
      <c r="B5" s="3" t="s">
        <v>21</v>
      </c>
      <c r="C5" s="3">
        <v>0</v>
      </c>
    </row>
    <row r="6" spans="1:3">
      <c r="A6" s="3">
        <v>5</v>
      </c>
      <c r="B6" s="3" t="s">
        <v>22</v>
      </c>
      <c r="C6" s="3">
        <v>0</v>
      </c>
    </row>
    <row r="7" spans="1:3">
      <c r="A7" s="3">
        <v>6</v>
      </c>
      <c r="B7" s="3" t="s">
        <v>23</v>
      </c>
      <c r="C7" s="3">
        <v>0</v>
      </c>
    </row>
    <row r="8" spans="1:3">
      <c r="A8" s="3">
        <v>7</v>
      </c>
      <c r="B8" s="3" t="s">
        <v>24</v>
      </c>
      <c r="C8" s="3">
        <v>0</v>
      </c>
    </row>
    <row r="9" spans="1:3">
      <c r="A9" s="3">
        <v>8</v>
      </c>
      <c r="B9" s="3" t="s">
        <v>25</v>
      </c>
      <c r="C9" s="3">
        <v>0</v>
      </c>
    </row>
    <row r="10" spans="1:3">
      <c r="A10" s="3">
        <v>9</v>
      </c>
      <c r="B10" s="3" t="s">
        <v>26</v>
      </c>
      <c r="C10" s="3">
        <v>0</v>
      </c>
    </row>
    <row r="11" spans="1:3">
      <c r="A11" s="3">
        <v>10</v>
      </c>
      <c r="B11" s="3" t="s">
        <v>27</v>
      </c>
      <c r="C11" s="3">
        <v>0</v>
      </c>
    </row>
    <row r="12" spans="1:3">
      <c r="A12" s="3">
        <v>11</v>
      </c>
      <c r="B12" s="3" t="s">
        <v>28</v>
      </c>
      <c r="C12" s="3">
        <v>0</v>
      </c>
    </row>
    <row r="13" spans="1:3">
      <c r="A13" s="3">
        <v>12</v>
      </c>
      <c r="B13" s="3" t="s">
        <v>29</v>
      </c>
      <c r="C13" s="3">
        <v>0</v>
      </c>
    </row>
    <row r="14" spans="1:3">
      <c r="A14" s="3">
        <v>13</v>
      </c>
      <c r="B14" s="3" t="s">
        <v>30</v>
      </c>
      <c r="C14" s="3">
        <v>0</v>
      </c>
    </row>
    <row r="15" spans="1:3">
      <c r="A15" s="3">
        <v>14</v>
      </c>
      <c r="B15" s="3" t="s">
        <v>31</v>
      </c>
      <c r="C15" s="3">
        <v>0</v>
      </c>
    </row>
    <row r="16" spans="1:3">
      <c r="B16" s="2" t="s">
        <v>32</v>
      </c>
      <c r="C16" s="3">
        <f>SUM(C2:C15)</f>
        <v>0</v>
      </c>
    </row>
    <row r="17" spans="2:3">
      <c r="B17" s="2" t="s">
        <v>33</v>
      </c>
      <c r="C17" s="3">
        <f>(C16*0.01)+0.65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2" t="s">
        <v>34</v>
      </c>
      <c r="B1" s="2" t="s">
        <v>35</v>
      </c>
    </row>
    <row r="2" spans="1:2">
      <c r="A2" s="3" t="s">
        <v>36</v>
      </c>
      <c r="B2" s="3">
        <f>'1. Data Master (ILF)'!E25 + '2. Data Eksternal (EIF)'!E25 + '3. Form Input (EI)'!E25 + '4. Laporan &amp; Cetak (EO)'!E25 + '5. Tampil Data (EQ)'!E25</f>
        <v>0</v>
      </c>
    </row>
    <row r="3" spans="1:2">
      <c r="A3" s="3" t="s">
        <v>33</v>
      </c>
      <c r="B3" s="3">
        <f>'6. Faktor Penyesuaian (VAF)'!C17</f>
        <v>0</v>
      </c>
    </row>
    <row r="4" spans="1:2">
      <c r="A4" s="2" t="s">
        <v>37</v>
      </c>
      <c r="B4" s="3">
        <f>B2 * B3</f>
        <v>0</v>
      </c>
    </row>
    <row r="6" spans="1:2">
      <c r="A6" s="2" t="s">
        <v>38</v>
      </c>
      <c r="B6" s="2"/>
    </row>
    <row r="7" spans="1:2">
      <c r="A7" s="3" t="s">
        <v>39</v>
      </c>
      <c r="B7" s="3">
        <v>8</v>
      </c>
    </row>
    <row r="8" spans="1:2">
      <c r="A8" s="3" t="s">
        <v>40</v>
      </c>
      <c r="B8" s="3">
        <f>B4 * B7</f>
        <v>0</v>
      </c>
    </row>
    <row r="9" spans="1:2">
      <c r="A9" s="3" t="s">
        <v>41</v>
      </c>
      <c r="B9" s="4">
        <v>500000</v>
      </c>
    </row>
    <row r="10" spans="1:2">
      <c r="A10" s="3" t="s">
        <v>42</v>
      </c>
      <c r="B10" s="4">
        <v>100000</v>
      </c>
    </row>
    <row r="11" spans="1:2">
      <c r="A11" s="3" t="s">
        <v>43</v>
      </c>
      <c r="B11" s="4">
        <f>B9 + B10</f>
        <v>0</v>
      </c>
    </row>
    <row r="12" spans="1:2">
      <c r="A12" s="2" t="s">
        <v>44</v>
      </c>
      <c r="B12" s="4">
        <f>(B8/8) * B11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Data Master (ILF)</vt:lpstr>
      <vt:lpstr>2. Data Eksternal (EIF)</vt:lpstr>
      <vt:lpstr>3. Form Input (EI)</vt:lpstr>
      <vt:lpstr>4. Laporan &amp; Cetak (EO)</vt:lpstr>
      <vt:lpstr>5. Tampil Data (EQ)</vt:lpstr>
      <vt:lpstr>6. Faktor Penyesuaian (VAF)</vt:lpstr>
      <vt:lpstr>7. Ringkasan &amp; Harga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2026-06-24T12:52:44Z</dcterms:created>
  <dcterms:modified xsi:type="dcterms:W3CDTF">2026-06-24T12:52:44Z</dcterms:modified>
</cp:coreProperties>
</file>